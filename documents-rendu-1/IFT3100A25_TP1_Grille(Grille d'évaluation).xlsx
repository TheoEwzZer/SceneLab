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ille dévaluation" sheetId="1" r:id="rId4"/>
  </sheets>
  <definedNames/>
  <calcPr/>
</workbook>
</file>

<file path=xl/sharedStrings.xml><?xml version="1.0" encoding="utf-8"?>
<sst xmlns="http://schemas.openxmlformats.org/spreadsheetml/2006/main" count="44" uniqueCount="42">
  <si>
    <t>IFT3100A25 - Projet de session (TP1)</t>
  </si>
  <si>
    <t>Critère</t>
  </si>
  <si>
    <t>Résultat</t>
  </si>
  <si>
    <t>Somme</t>
  </si>
  <si>
    <t>Maximum</t>
  </si>
  <si>
    <t>Sous-total</t>
  </si>
  <si>
    <t>Total (%)</t>
  </si>
  <si>
    <t>Équipe</t>
  </si>
  <si>
    <t>11</t>
  </si>
  <si>
    <t>Critères fonctionnels</t>
  </si>
  <si>
    <t>Importation d’images</t>
  </si>
  <si>
    <t>Exportation d’images</t>
  </si>
  <si>
    <t>Échantillonnage d’images</t>
  </si>
  <si>
    <t>Palette de couleur</t>
  </si>
  <si>
    <t>Histogramme</t>
  </si>
  <si>
    <t>Curseur dynamique</t>
  </si>
  <si>
    <t>Outils de dessin</t>
  </si>
  <si>
    <t>Primitives vectorielles</t>
  </si>
  <si>
    <t>Formes vectorielles</t>
  </si>
  <si>
    <t>Interface</t>
  </si>
  <si>
    <t>Graphe de scène</t>
  </si>
  <si>
    <t>Sélection multiple</t>
  </si>
  <si>
    <t>Transformations interactives</t>
  </si>
  <si>
    <t>Historique de transformation</t>
  </si>
  <si>
    <t>Système de coordonnées</t>
  </si>
  <si>
    <t>Boîte de délimitation</t>
  </si>
  <si>
    <t>Primitives géométriques</t>
  </si>
  <si>
    <t>Modèles 3D</t>
  </si>
  <si>
    <t>Variants</t>
  </si>
  <si>
    <t>OpenUSD</t>
  </si>
  <si>
    <t>Caméra interactive</t>
  </si>
  <si>
    <t>Caméra multiple</t>
  </si>
  <si>
    <t>Point de vue multiple</t>
  </si>
  <si>
    <t>Focus automatique</t>
  </si>
  <si>
    <t>Occlusion</t>
  </si>
  <si>
    <t>Document de design</t>
  </si>
  <si>
    <t>Qualité générale</t>
  </si>
  <si>
    <t>Vidéo</t>
  </si>
  <si>
    <t>Bonus</t>
  </si>
  <si>
    <t>Séléction des objets par raycast</t>
  </si>
  <si>
    <t>Malus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</si>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</sst>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0.0"/>
      <color rgb="FF000000"/>
      <name val="Helvetica Neue"/>
      <scheme val="minor"/>
    </font>
    <font>
      <b/>
      <sz val="12.0"/>
      <color rgb="FF000000"/>
      <name val="Helvetica Neue"/>
    </font>
    <font>
      <sz val="10.0"/>
      <color rgb="FF000000"/>
      <name val="Helvetica Neue"/>
    </font>
    <font>
      <b/>
      <sz val="10.0"/>
      <color rgb="FF000000"/>
      <name val="Helvetica Neue"/>
    </font>
  </fonts>
  <fills count="7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EDFFDE"/>
        <bgColor rgb="FFEDFFDE"/>
      </patternFill>
    </fill>
    <fill>
      <patternFill patternType="solid">
        <fgColor rgb="FFF4F4F4"/>
        <bgColor rgb="FFF4F4F4"/>
      </patternFill>
    </fill>
    <fill>
      <patternFill patternType="solid">
        <fgColor rgb="FFF2F2F2"/>
        <bgColor rgb="FFF2F2F2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center" wrapText="1"/>
    </xf>
    <xf borderId="1" fillId="2" fontId="3" numFmtId="49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3" fontId="3" numFmtId="49" xfId="0" applyAlignment="1" applyBorder="1" applyFont="1" applyNumberForma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7" fillId="4" fontId="2" numFmtId="49" xfId="0" applyAlignment="1" applyBorder="1" applyFill="1" applyFont="1" applyNumberFormat="1">
      <alignment horizontal="center" readingOrder="0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5" fillId="3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shrinkToFit="0" vertical="center" wrapText="1"/>
    </xf>
    <xf borderId="7" fillId="0" fontId="2" numFmtId="49" xfId="0" applyAlignment="1" applyBorder="1" applyFont="1" applyNumberFormat="1">
      <alignment shrinkToFit="0" vertical="center" wrapText="1"/>
    </xf>
    <xf borderId="7" fillId="4" fontId="2" numFmtId="0" xfId="0" applyAlignment="1" applyBorder="1" applyFont="1">
      <alignment horizontal="center" readingOrder="0" shrinkToFit="0" vertical="center" wrapText="1"/>
    </xf>
    <xf borderId="7" fillId="0" fontId="2" numFmtId="9" xfId="0" applyAlignment="1" applyBorder="1" applyFont="1" applyNumberFormat="1">
      <alignment shrinkToFit="0" vertical="center" wrapText="1"/>
    </xf>
    <xf borderId="5" fillId="3" fontId="3" numFmtId="0" xfId="0" applyAlignment="1" applyBorder="1" applyFont="1">
      <alignment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5" fontId="2" numFmtId="0" xfId="0" applyAlignment="1" applyBorder="1" applyFill="1" applyFont="1">
      <alignment shrinkToFit="0" vertical="center" wrapText="1"/>
    </xf>
    <xf borderId="7" fillId="5" fontId="3" numFmtId="0" xfId="0" applyAlignment="1" applyBorder="1" applyFont="1">
      <alignment shrinkToFit="0" vertical="center" wrapText="1"/>
    </xf>
    <xf borderId="7" fillId="5" fontId="2" numFmtId="0" xfId="0" applyAlignment="1" applyBorder="1" applyFont="1">
      <alignment shrinkToFit="0" vertical="center" wrapText="1"/>
    </xf>
    <xf borderId="7" fillId="5" fontId="2" numFmtId="0" xfId="0" applyAlignment="1" applyBorder="1" applyFont="1">
      <alignment horizontal="center" shrinkToFit="0" vertical="center" wrapText="1"/>
    </xf>
    <xf borderId="7" fillId="5" fontId="2" numFmtId="164" xfId="0" applyAlignment="1" applyBorder="1" applyFont="1" applyNumberFormat="1">
      <alignment shrinkToFit="0" vertical="center" wrapText="1"/>
    </xf>
    <xf borderId="7" fillId="5" fontId="2" numFmtId="9" xfId="0" applyAlignment="1" applyBorder="1" applyFont="1" applyNumberFormat="1">
      <alignment shrinkToFit="0" vertical="center" wrapText="1"/>
    </xf>
    <xf borderId="7" fillId="0" fontId="2" numFmtId="49" xfId="0" applyAlignment="1" applyBorder="1" applyFont="1" applyNumberFormat="1">
      <alignment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7" fillId="0" fontId="2" numFmtId="9" xfId="0" applyAlignment="1" applyBorder="1" applyFont="1" applyNumberFormat="1">
      <alignment horizontal="center" shrinkToFit="0" vertical="center" wrapText="1"/>
    </xf>
    <xf borderId="7" fillId="0" fontId="3" numFmtId="9" xfId="0" applyAlignment="1" applyBorder="1" applyFont="1" applyNumberFormat="1">
      <alignment shrinkToFit="0" vertical="center" wrapText="1"/>
    </xf>
    <xf borderId="7" fillId="5" fontId="3" numFmtId="2" xfId="0" applyAlignment="1" applyBorder="1" applyFont="1" applyNumberFormat="1">
      <alignment shrinkToFit="0" vertical="center" wrapText="1"/>
    </xf>
    <xf borderId="7" fillId="6" fontId="3" numFmtId="10" xfId="0" applyAlignment="1" applyBorder="1" applyFill="1" applyFont="1" applyNumberFormat="1">
      <alignment shrinkToFit="0" vertical="center" wrapText="1"/>
    </xf>
    <xf borderId="7" fillId="0" fontId="3" numFmtId="2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29"/>
    <col customWidth="1" min="2" max="2" width="3.86"/>
    <col customWidth="1" min="3" max="3" width="12.0"/>
    <col customWidth="1" min="4" max="4" width="27.29"/>
    <col customWidth="1" min="5" max="5" width="12.0"/>
    <col customWidth="1" min="6" max="9" width="13.29"/>
    <col customWidth="1" min="10" max="10" width="3.0"/>
    <col customWidth="1" min="11" max="26" width="12.0"/>
  </cols>
  <sheetData>
    <row r="1" ht="27.75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/>
      <c r="B2" s="3"/>
      <c r="C2" s="3"/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>
      <c r="A3" s="6"/>
      <c r="B3" s="7"/>
      <c r="C3" s="8"/>
      <c r="D3" s="8"/>
      <c r="E3" s="9"/>
      <c r="F3" s="9"/>
      <c r="G3" s="9"/>
      <c r="H3" s="9"/>
      <c r="I3" s="9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0.25" customHeight="1">
      <c r="A4" s="10" t="s">
        <v>7</v>
      </c>
      <c r="B4" s="11"/>
      <c r="C4" s="12" t="s">
        <v>8</v>
      </c>
      <c r="D4" s="13"/>
      <c r="E4" s="14"/>
      <c r="F4" s="14"/>
      <c r="G4" s="14"/>
      <c r="H4" s="14"/>
      <c r="I4" s="14"/>
      <c r="J4" s="1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>
      <c r="A5" s="15"/>
      <c r="B5" s="16"/>
      <c r="C5" s="17"/>
      <c r="D5" s="18"/>
      <c r="E5" s="14"/>
      <c r="F5" s="18"/>
      <c r="G5" s="18"/>
      <c r="H5" s="18"/>
      <c r="I5" s="18"/>
      <c r="J5" s="1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>
      <c r="A6" s="10" t="s">
        <v>9</v>
      </c>
      <c r="B6" s="16"/>
      <c r="C6" s="17"/>
      <c r="D6" s="18"/>
      <c r="E6" s="14"/>
      <c r="F6" s="18"/>
      <c r="G6" s="18"/>
      <c r="H6" s="18"/>
      <c r="I6" s="18"/>
      <c r="J6" s="1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>
      <c r="A7" s="15"/>
      <c r="B7" s="16"/>
      <c r="C7" s="17">
        <v>1.1</v>
      </c>
      <c r="D7" s="19" t="s">
        <v>10</v>
      </c>
      <c r="E7" s="20">
        <v>2.0</v>
      </c>
      <c r="F7" s="18"/>
      <c r="G7" s="18"/>
      <c r="H7" s="18"/>
      <c r="I7" s="18"/>
      <c r="J7" s="1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>
      <c r="A8" s="15"/>
      <c r="B8" s="16"/>
      <c r="C8" s="17">
        <v>1.2</v>
      </c>
      <c r="D8" s="19" t="s">
        <v>11</v>
      </c>
      <c r="E8" s="20">
        <v>2.0</v>
      </c>
      <c r="F8" s="18"/>
      <c r="G8" s="18"/>
      <c r="H8" s="18"/>
      <c r="I8" s="18"/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>
      <c r="A9" s="15"/>
      <c r="B9" s="16"/>
      <c r="C9" s="17">
        <v>1.3</v>
      </c>
      <c r="D9" s="19" t="s">
        <v>12</v>
      </c>
      <c r="E9" s="20">
        <v>2.0</v>
      </c>
      <c r="F9" s="18"/>
      <c r="G9" s="18"/>
      <c r="H9" s="18"/>
      <c r="I9" s="18"/>
      <c r="J9" s="1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>
      <c r="A10" s="15"/>
      <c r="B10" s="16"/>
      <c r="C10" s="17">
        <v>1.4</v>
      </c>
      <c r="D10" s="19" t="s">
        <v>13</v>
      </c>
      <c r="E10" s="20">
        <v>2.0</v>
      </c>
      <c r="F10" s="18"/>
      <c r="G10" s="18"/>
      <c r="H10" s="18"/>
      <c r="I10" s="18"/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>
      <c r="A11" s="15"/>
      <c r="B11" s="16"/>
      <c r="C11" s="17">
        <v>1.5</v>
      </c>
      <c r="D11" s="19" t="s">
        <v>14</v>
      </c>
      <c r="E11" s="20">
        <v>2.0</v>
      </c>
      <c r="F11" s="18"/>
      <c r="G11" s="18"/>
      <c r="H11" s="18"/>
      <c r="I11" s="18"/>
      <c r="J11" s="1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>
      <c r="A12" s="15"/>
      <c r="B12" s="16"/>
      <c r="C12" s="17">
        <v>2.1</v>
      </c>
      <c r="D12" s="19" t="s">
        <v>15</v>
      </c>
      <c r="E12" s="20">
        <v>2.0</v>
      </c>
      <c r="F12" s="18"/>
      <c r="G12" s="18"/>
      <c r="H12" s="18"/>
      <c r="I12" s="18"/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15"/>
      <c r="B13" s="16"/>
      <c r="C13" s="17">
        <v>2.2</v>
      </c>
      <c r="D13" s="19" t="s">
        <v>16</v>
      </c>
      <c r="E13" s="20">
        <v>2.0</v>
      </c>
      <c r="F13" s="18"/>
      <c r="G13" s="18"/>
      <c r="H13" s="18"/>
      <c r="I13" s="18"/>
      <c r="J13" s="1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>
      <c r="A14" s="15"/>
      <c r="B14" s="16"/>
      <c r="C14" s="17">
        <v>2.3</v>
      </c>
      <c r="D14" s="19" t="s">
        <v>17</v>
      </c>
      <c r="E14" s="20">
        <v>3.0</v>
      </c>
      <c r="F14" s="18"/>
      <c r="G14" s="18"/>
      <c r="H14" s="18"/>
      <c r="I14" s="18"/>
      <c r="J14" s="1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>
      <c r="A15" s="15"/>
      <c r="B15" s="16"/>
      <c r="C15" s="17">
        <v>2.4</v>
      </c>
      <c r="D15" s="19" t="s">
        <v>18</v>
      </c>
      <c r="E15" s="20">
        <v>2.0</v>
      </c>
      <c r="F15" s="18"/>
      <c r="G15" s="18"/>
      <c r="H15" s="18"/>
      <c r="I15" s="18"/>
      <c r="J15" s="1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>
      <c r="A16" s="15"/>
      <c r="B16" s="16"/>
      <c r="C16" s="17">
        <v>2.5</v>
      </c>
      <c r="D16" s="19" t="s">
        <v>19</v>
      </c>
      <c r="E16" s="20">
        <v>2.0</v>
      </c>
      <c r="F16" s="18"/>
      <c r="G16" s="18"/>
      <c r="H16" s="18"/>
      <c r="I16" s="18"/>
      <c r="J16" s="1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>
      <c r="A17" s="15"/>
      <c r="B17" s="16"/>
      <c r="C17" s="17">
        <v>3.1</v>
      </c>
      <c r="D17" s="19" t="s">
        <v>20</v>
      </c>
      <c r="E17" s="20">
        <v>2.0</v>
      </c>
      <c r="F17" s="18"/>
      <c r="G17" s="18"/>
      <c r="H17" s="18"/>
      <c r="I17" s="18"/>
      <c r="J17" s="1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>
      <c r="A18" s="15"/>
      <c r="B18" s="16"/>
      <c r="C18" s="17">
        <v>3.2</v>
      </c>
      <c r="D18" s="19" t="s">
        <v>21</v>
      </c>
      <c r="E18" s="20">
        <v>2.0</v>
      </c>
      <c r="F18" s="18"/>
      <c r="G18" s="18"/>
      <c r="H18" s="18"/>
      <c r="I18" s="18"/>
      <c r="J18" s="1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>
      <c r="A19" s="15"/>
      <c r="B19" s="16"/>
      <c r="C19" s="17">
        <v>3.3</v>
      </c>
      <c r="D19" s="19" t="s">
        <v>22</v>
      </c>
      <c r="E19" s="20">
        <v>2.0</v>
      </c>
      <c r="F19" s="18"/>
      <c r="G19" s="18"/>
      <c r="H19" s="18"/>
      <c r="I19" s="18"/>
      <c r="J19" s="1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>
      <c r="A20" s="15"/>
      <c r="B20" s="16"/>
      <c r="C20" s="17">
        <v>3.4</v>
      </c>
      <c r="D20" s="19" t="s">
        <v>23</v>
      </c>
      <c r="E20" s="20">
        <v>0.0</v>
      </c>
      <c r="F20" s="18"/>
      <c r="G20" s="18"/>
      <c r="H20" s="18"/>
      <c r="I20" s="18"/>
      <c r="J20" s="1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>
      <c r="A21" s="15"/>
      <c r="B21" s="16"/>
      <c r="C21" s="17">
        <v>3.5</v>
      </c>
      <c r="D21" s="19" t="s">
        <v>24</v>
      </c>
      <c r="E21" s="20">
        <v>0.0</v>
      </c>
      <c r="F21" s="18"/>
      <c r="G21" s="18"/>
      <c r="H21" s="18"/>
      <c r="I21" s="18"/>
      <c r="J21" s="1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>
      <c r="A22" s="15"/>
      <c r="B22" s="16"/>
      <c r="C22" s="17">
        <v>4.1</v>
      </c>
      <c r="D22" s="19" t="s">
        <v>25</v>
      </c>
      <c r="E22" s="20">
        <v>2.0</v>
      </c>
      <c r="F22" s="18"/>
      <c r="G22" s="18"/>
      <c r="H22" s="18"/>
      <c r="I22" s="18"/>
      <c r="J22" s="1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>
      <c r="A23" s="15"/>
      <c r="B23" s="16"/>
      <c r="C23" s="17">
        <v>4.2</v>
      </c>
      <c r="D23" s="19" t="s">
        <v>26</v>
      </c>
      <c r="E23" s="20">
        <v>2.0</v>
      </c>
      <c r="F23" s="18"/>
      <c r="G23" s="18"/>
      <c r="H23" s="18"/>
      <c r="I23" s="18"/>
      <c r="J23" s="1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>
      <c r="A24" s="15"/>
      <c r="B24" s="16"/>
      <c r="C24" s="17">
        <v>4.3</v>
      </c>
      <c r="D24" s="19" t="s">
        <v>27</v>
      </c>
      <c r="E24" s="20">
        <v>2.0</v>
      </c>
      <c r="F24" s="18"/>
      <c r="G24" s="18"/>
      <c r="H24" s="18"/>
      <c r="I24" s="18"/>
      <c r="J24" s="1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>
      <c r="A25" s="15"/>
      <c r="B25" s="16"/>
      <c r="C25" s="17">
        <v>4.4</v>
      </c>
      <c r="D25" s="19" t="s">
        <v>28</v>
      </c>
      <c r="E25" s="20">
        <v>0.0</v>
      </c>
      <c r="F25" s="18"/>
      <c r="G25" s="18"/>
      <c r="H25" s="18"/>
      <c r="I25" s="18"/>
      <c r="J25" s="1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15"/>
      <c r="B26" s="16"/>
      <c r="C26" s="17">
        <v>4.5</v>
      </c>
      <c r="D26" s="19" t="s">
        <v>29</v>
      </c>
      <c r="E26" s="20">
        <v>0.0</v>
      </c>
      <c r="F26" s="18"/>
      <c r="G26" s="18"/>
      <c r="H26" s="18"/>
      <c r="I26" s="18"/>
      <c r="J26" s="1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>
      <c r="A27" s="15"/>
      <c r="B27" s="16"/>
      <c r="C27" s="17">
        <v>5.1</v>
      </c>
      <c r="D27" s="19" t="s">
        <v>30</v>
      </c>
      <c r="E27" s="20">
        <v>2.0</v>
      </c>
      <c r="F27" s="18"/>
      <c r="G27" s="18"/>
      <c r="H27" s="18"/>
      <c r="I27" s="18"/>
      <c r="J27" s="1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>
      <c r="A28" s="15"/>
      <c r="B28" s="16"/>
      <c r="C28" s="17">
        <v>5.2</v>
      </c>
      <c r="D28" s="19" t="s">
        <v>31</v>
      </c>
      <c r="E28" s="20">
        <v>2.0</v>
      </c>
      <c r="F28" s="18"/>
      <c r="G28" s="18"/>
      <c r="H28" s="18"/>
      <c r="I28" s="18"/>
      <c r="J28" s="1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5"/>
      <c r="B29" s="16"/>
      <c r="C29" s="17">
        <v>5.3</v>
      </c>
      <c r="D29" s="19" t="s">
        <v>32</v>
      </c>
      <c r="E29" s="20">
        <v>2.0</v>
      </c>
      <c r="F29" s="18"/>
      <c r="G29" s="18"/>
      <c r="H29" s="18"/>
      <c r="I29" s="18"/>
      <c r="J29" s="1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>
      <c r="A30" s="15"/>
      <c r="B30" s="16"/>
      <c r="C30" s="17">
        <v>5.4</v>
      </c>
      <c r="D30" s="19" t="s">
        <v>33</v>
      </c>
      <c r="E30" s="20">
        <v>0.0</v>
      </c>
      <c r="F30" s="18"/>
      <c r="G30" s="18"/>
      <c r="H30" s="18"/>
      <c r="I30" s="18"/>
      <c r="J30" s="1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>
      <c r="A31" s="15"/>
      <c r="B31" s="16"/>
      <c r="C31" s="17">
        <v>5.5</v>
      </c>
      <c r="D31" s="19" t="s">
        <v>34</v>
      </c>
      <c r="E31" s="20">
        <v>0.0</v>
      </c>
      <c r="F31" s="18"/>
      <c r="G31" s="18"/>
      <c r="H31" s="18"/>
      <c r="I31" s="18"/>
      <c r="J31" s="1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>
      <c r="A32" s="15"/>
      <c r="B32" s="16"/>
      <c r="C32" s="17"/>
      <c r="D32" s="18"/>
      <c r="E32" s="14"/>
      <c r="F32" s="18"/>
      <c r="G32" s="18"/>
      <c r="H32" s="17"/>
      <c r="I32" s="21"/>
      <c r="J32" s="2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>
      <c r="A33" s="15"/>
      <c r="B33" s="16"/>
      <c r="C33" s="17"/>
      <c r="D33" s="18"/>
      <c r="E33" s="14">
        <f>COUNT(E7:E31)</f>
        <v>25</v>
      </c>
      <c r="F33" s="18">
        <f>SUM(E7:E31)</f>
        <v>39</v>
      </c>
      <c r="G33" s="18">
        <v>40.0</v>
      </c>
      <c r="H33" s="17">
        <f>MIN(F33,G33)</f>
        <v>39</v>
      </c>
      <c r="I33" s="21"/>
      <c r="J33" s="2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>
      <c r="A34" s="22"/>
      <c r="B34" s="16"/>
      <c r="C34" s="17"/>
      <c r="D34" s="18"/>
      <c r="E34" s="14"/>
      <c r="F34" s="18"/>
      <c r="G34" s="18"/>
      <c r="H34" s="18"/>
      <c r="I34" s="18"/>
      <c r="J34" s="1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>
      <c r="A35" s="15"/>
      <c r="B35" s="16"/>
      <c r="C35" s="17"/>
      <c r="D35" s="18"/>
      <c r="E35" s="14"/>
      <c r="F35" s="18"/>
      <c r="G35" s="18"/>
      <c r="H35" s="18"/>
      <c r="I35" s="18"/>
      <c r="J35" s="1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>
      <c r="A36" s="10" t="s">
        <v>35</v>
      </c>
      <c r="B36" s="11"/>
      <c r="C36" s="13"/>
      <c r="D36" s="19" t="s">
        <v>36</v>
      </c>
      <c r="E36" s="20">
        <v>4.0</v>
      </c>
      <c r="F36" s="18"/>
      <c r="G36" s="18">
        <v>5.0</v>
      </c>
      <c r="H36" s="17">
        <f>MIN(E36,G36)</f>
        <v>4</v>
      </c>
      <c r="I36" s="13"/>
      <c r="J36" s="1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0.25" customHeight="1">
      <c r="A37" s="15"/>
      <c r="B37" s="16"/>
      <c r="C37" s="17"/>
      <c r="D37" s="18"/>
      <c r="E37" s="18"/>
      <c r="F37" s="18"/>
      <c r="G37" s="18"/>
      <c r="H37" s="18"/>
      <c r="I37" s="18"/>
      <c r="J37" s="18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>
      <c r="A38" s="23"/>
      <c r="B38" s="16"/>
      <c r="C38" s="17"/>
      <c r="D38" s="18"/>
      <c r="E38" s="14"/>
      <c r="F38" s="18"/>
      <c r="G38" s="18"/>
      <c r="H38" s="18"/>
      <c r="I38" s="18"/>
      <c r="J38" s="18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>
      <c r="A39" s="10" t="s">
        <v>37</v>
      </c>
      <c r="B39" s="11"/>
      <c r="C39" s="13"/>
      <c r="D39" s="19" t="s">
        <v>36</v>
      </c>
      <c r="E39" s="20">
        <v>4.0</v>
      </c>
      <c r="F39" s="18"/>
      <c r="G39" s="18">
        <v>5.0</v>
      </c>
      <c r="H39" s="17">
        <f>MIN(E39,G39)</f>
        <v>4</v>
      </c>
      <c r="I39" s="18"/>
      <c r="J39" s="18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>
      <c r="A40" s="15"/>
      <c r="B40" s="16"/>
      <c r="C40" s="17"/>
      <c r="D40" s="18"/>
      <c r="E40" s="18"/>
      <c r="F40" s="18"/>
      <c r="G40" s="18"/>
      <c r="H40" s="18"/>
      <c r="I40" s="18"/>
      <c r="J40" s="18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>
      <c r="A41" s="22"/>
      <c r="B41" s="16"/>
      <c r="C41" s="17"/>
      <c r="D41" s="18"/>
      <c r="E41" s="14"/>
      <c r="F41" s="18"/>
      <c r="G41" s="18"/>
      <c r="H41" s="18"/>
      <c r="I41" s="18"/>
      <c r="J41" s="18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0.25" customHeight="1">
      <c r="A42" s="10" t="s">
        <v>5</v>
      </c>
      <c r="B42" s="24"/>
      <c r="C42" s="25"/>
      <c r="D42" s="26"/>
      <c r="E42" s="27"/>
      <c r="F42" s="26"/>
      <c r="G42" s="26">
        <v>50.0</v>
      </c>
      <c r="H42" s="25">
        <f>H33+H36+H39</f>
        <v>47</v>
      </c>
      <c r="I42" s="28">
        <f>H42/G42</f>
        <v>0.94</v>
      </c>
      <c r="J42" s="2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>
      <c r="A43" s="23"/>
      <c r="B43" s="16"/>
      <c r="C43" s="17"/>
      <c r="D43" s="19"/>
      <c r="E43" s="14"/>
      <c r="F43" s="18"/>
      <c r="G43" s="18"/>
      <c r="H43" s="18"/>
      <c r="I43" s="18"/>
      <c r="J43" s="18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>
      <c r="A44" s="23"/>
      <c r="B44" s="16"/>
      <c r="C44" s="17"/>
      <c r="D44" s="19"/>
      <c r="E44" s="14"/>
      <c r="F44" s="18"/>
      <c r="G44" s="18"/>
      <c r="H44" s="18"/>
      <c r="I44" s="18"/>
      <c r="J44" s="18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0.25" customHeight="1">
      <c r="A45" s="23"/>
      <c r="B45" s="16"/>
      <c r="C45" s="17"/>
      <c r="D45" s="19"/>
      <c r="E45" s="14"/>
      <c r="F45" s="18"/>
      <c r="G45" s="18"/>
      <c r="H45" s="18"/>
      <c r="I45" s="18"/>
      <c r="J45" s="18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>
      <c r="A46" s="10" t="s">
        <v>38</v>
      </c>
      <c r="B46" s="16"/>
      <c r="C46" s="17"/>
      <c r="D46" s="30" t="s">
        <v>39</v>
      </c>
      <c r="E46" s="31">
        <v>2.0</v>
      </c>
      <c r="F46" s="18"/>
      <c r="G46" s="18"/>
      <c r="H46" s="18"/>
      <c r="I46" s="18"/>
      <c r="J46" s="18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0.25" customHeight="1">
      <c r="A47" s="22"/>
      <c r="B47" s="16"/>
      <c r="C47" s="17"/>
      <c r="D47" s="19"/>
      <c r="E47" s="32"/>
      <c r="F47" s="18"/>
      <c r="G47" s="18"/>
      <c r="H47" s="18"/>
      <c r="I47" s="18"/>
      <c r="J47" s="18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>
      <c r="A48" s="22"/>
      <c r="B48" s="16"/>
      <c r="C48" s="17"/>
      <c r="D48" s="19"/>
      <c r="E48" s="32"/>
      <c r="F48" s="18"/>
      <c r="G48" s="18"/>
      <c r="H48" s="18"/>
      <c r="I48" s="18"/>
      <c r="J48" s="1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>
      <c r="A49" s="22"/>
      <c r="B49" s="16"/>
      <c r="C49" s="17"/>
      <c r="D49" s="19"/>
      <c r="E49" s="32"/>
      <c r="F49" s="18"/>
      <c r="G49" s="18"/>
      <c r="H49" s="18"/>
      <c r="I49" s="18"/>
      <c r="J49" s="18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>
      <c r="A50" s="22"/>
      <c r="B50" s="16"/>
      <c r="C50" s="17"/>
      <c r="D50" s="18"/>
      <c r="E50" s="14"/>
      <c r="F50" s="33">
        <f>SUM(E47:E49)</f>
        <v>0</v>
      </c>
      <c r="G50" s="18"/>
      <c r="H50" s="18"/>
      <c r="I50" s="18"/>
      <c r="J50" s="18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>
      <c r="A51" s="23"/>
      <c r="B51" s="16"/>
      <c r="C51" s="17"/>
      <c r="D51" s="18"/>
      <c r="E51" s="14"/>
      <c r="F51" s="18"/>
      <c r="G51" s="18"/>
      <c r="H51" s="18"/>
      <c r="I51" s="18"/>
      <c r="J51" s="18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>
      <c r="A52" s="10" t="s">
        <v>40</v>
      </c>
      <c r="B52" s="16"/>
      <c r="C52" s="17"/>
      <c r="D52" s="18"/>
      <c r="E52" s="14"/>
      <c r="F52" s="18"/>
      <c r="G52" s="18"/>
      <c r="H52" s="18"/>
      <c r="I52" s="18"/>
      <c r="J52" s="18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>
      <c r="A53" s="22"/>
      <c r="B53" s="16"/>
      <c r="C53" s="17"/>
      <c r="D53" s="19"/>
      <c r="E53" s="32"/>
      <c r="F53" s="18"/>
      <c r="G53" s="18"/>
      <c r="H53" s="18"/>
      <c r="I53" s="18"/>
      <c r="J53" s="18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>
      <c r="A54" s="22"/>
      <c r="B54" s="16"/>
      <c r="C54" s="17"/>
      <c r="D54" s="19"/>
      <c r="E54" s="32"/>
      <c r="F54" s="18"/>
      <c r="G54" s="18"/>
      <c r="H54" s="18"/>
      <c r="I54" s="18"/>
      <c r="J54" s="18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>
      <c r="A55" s="22"/>
      <c r="B55" s="16"/>
      <c r="C55" s="17"/>
      <c r="D55" s="19"/>
      <c r="E55" s="32"/>
      <c r="F55" s="18"/>
      <c r="G55" s="18"/>
      <c r="H55" s="18"/>
      <c r="I55" s="18"/>
      <c r="J55" s="18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>
      <c r="A56" s="22"/>
      <c r="B56" s="16"/>
      <c r="C56" s="17"/>
      <c r="D56" s="18"/>
      <c r="E56" s="14"/>
      <c r="F56" s="33">
        <f>SUM(E53:E55)</f>
        <v>0</v>
      </c>
      <c r="G56" s="18"/>
      <c r="H56" s="18"/>
      <c r="I56" s="18"/>
      <c r="J56" s="18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>
      <c r="A57" s="22"/>
      <c r="B57" s="16"/>
      <c r="C57" s="17"/>
      <c r="D57" s="18"/>
      <c r="E57" s="14"/>
      <c r="F57" s="18"/>
      <c r="G57" s="18"/>
      <c r="H57" s="18"/>
      <c r="I57" s="18"/>
      <c r="J57" s="18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>
      <c r="A58" s="10" t="s">
        <v>41</v>
      </c>
      <c r="B58" s="24"/>
      <c r="C58" s="25"/>
      <c r="D58" s="26"/>
      <c r="E58" s="27"/>
      <c r="F58" s="26"/>
      <c r="G58" s="26">
        <v>50.0</v>
      </c>
      <c r="H58" s="34">
        <f>G58*I58</f>
        <v>47</v>
      </c>
      <c r="I58" s="35">
        <f>MIN(I42+F50+F56,1)</f>
        <v>0.94</v>
      </c>
      <c r="J58" s="2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>
      <c r="A59" s="22"/>
      <c r="B59" s="16"/>
      <c r="C59" s="17"/>
      <c r="D59" s="18"/>
      <c r="E59" s="14"/>
      <c r="F59" s="18"/>
      <c r="G59" s="18"/>
      <c r="H59" s="18"/>
      <c r="I59" s="36"/>
      <c r="J59" s="3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J1"/>
  </mergeCells>
  <printOptions/>
  <pageMargins bottom="0.75" footer="0.0" header="0.0" left="0.5" right="0.5" top="0.75"/>
  <pageSetup orientation="landscape"/>
  <headerFooter>
    <oddFooter>&amp;C000000&amp;P</oddFooter>
  </headerFooter>
  <drawing r:id="rId1"/>
</worksheet>
</file>